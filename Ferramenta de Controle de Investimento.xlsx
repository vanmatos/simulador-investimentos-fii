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Excel_Santander\"/>
    </mc:Choice>
  </mc:AlternateContent>
  <xr:revisionPtr revIDLastSave="0" documentId="13_ncr:1_{BA494959-4F05-471F-A239-DBA8CEF4736B}" xr6:coauthVersionLast="46" xr6:coauthVersionMax="46" xr10:uidLastSave="{00000000-0000-0000-0000-000000000000}"/>
  <bookViews>
    <workbookView xWindow="-120" yWindow="-120" windowWidth="29040" windowHeight="15840" tabRatio="48" xr2:uid="{198F178B-3307-446C-80B9-64A5CC80419F}"/>
  </bookViews>
  <sheets>
    <sheet name="APP_Invest" sheetId="1" r:id="rId1"/>
    <sheet name="Planilha_Apoio" sheetId="2" r:id="rId2"/>
  </sheets>
  <definedNames>
    <definedName name="aporte">APP_Invest!$D$17</definedName>
    <definedName name="patrimonio">APP_Invest!$D$20</definedName>
    <definedName name="qtd_anos">APP_Invest!$D$18</definedName>
    <definedName name="rendimento_carteira">APP_Invest!$D$13</definedName>
    <definedName name="sugestao_investimento">APP_Invest!$D$14</definedName>
    <definedName name="taxa_mensal">APP_Invest!$D$19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2" l="1"/>
  <c r="B17" i="2"/>
  <c r="B18" i="2"/>
  <c r="B19" i="2"/>
  <c r="B20" i="2"/>
  <c r="B15" i="2"/>
  <c r="B10" i="2"/>
  <c r="B11" i="2"/>
  <c r="B12" i="2"/>
  <c r="B13" i="2"/>
  <c r="B14" i="2"/>
  <c r="B9" i="2"/>
  <c r="B4" i="2"/>
  <c r="B5" i="2"/>
  <c r="B6" i="2"/>
  <c r="B7" i="2"/>
  <c r="B8" i="2"/>
  <c r="B3" i="2"/>
  <c r="C37" i="1" s="1"/>
  <c r="C33" i="1"/>
  <c r="C24" i="1"/>
  <c r="D24" i="1" s="1"/>
  <c r="D14" i="1"/>
  <c r="D20" i="1"/>
  <c r="D21" i="1" s="1"/>
  <c r="C25" i="1"/>
  <c r="D25" i="1" s="1"/>
  <c r="C26" i="1"/>
  <c r="D26" i="1" s="1"/>
  <c r="C27" i="1"/>
  <c r="D27" i="1" s="1"/>
  <c r="C28" i="1"/>
  <c r="D28" i="1" s="1"/>
  <c r="C36" i="1" l="1"/>
  <c r="D36" i="1" s="1"/>
  <c r="C41" i="1"/>
  <c r="D41" i="1" s="1"/>
  <c r="C40" i="1"/>
  <c r="D40" i="1" s="1"/>
  <c r="C39" i="1"/>
  <c r="D39" i="1" s="1"/>
  <c r="C38" i="1"/>
  <c r="D38" i="1" s="1"/>
  <c r="D37" i="1"/>
  <c r="D42" i="1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<sst xmlns="http://schemas.openxmlformats.org/spreadsheetml/2006/main" count="69" uniqueCount="33">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</sst>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sz val="18"/>
      <color rgb="FF002060"/>
      <name val="Segoe UI Semibold"/>
      <family val="2"/>
    </font>
    <font>
      <sz val="18"/>
      <color theme="0"/>
      <name val="Segoe UI Semibold"/>
      <family val="2"/>
    </font>
    <font>
      <sz val="11"/>
      <color theme="0"/>
      <name val="Segoe UI Semibold"/>
      <family val="2"/>
    </font>
    <font>
      <b/>
      <sz val="12"/>
      <color rgb="FF002060"/>
      <name val="Segoe UI Semibold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medium">
        <color theme="4" tint="0.59996337778862885"/>
      </left>
      <right style="medium">
        <color theme="4" tint="0.59996337778862885"/>
      </right>
      <top/>
      <bottom style="medium">
        <color theme="4" tint="0.59996337778862885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/>
      <diagonal/>
    </border>
    <border>
      <left/>
      <right/>
      <top style="thick">
        <color theme="4" tint="-0.24994659260841701"/>
      </top>
      <bottom/>
      <diagonal/>
    </border>
    <border>
      <left/>
      <right style="thick">
        <color theme="4" tint="-0.24994659260841701"/>
      </right>
      <top style="thick">
        <color theme="4" tint="-0.24994659260841701"/>
      </top>
      <bottom/>
      <diagonal/>
    </border>
    <border>
      <left style="thick">
        <color theme="4" tint="-0.24994659260841701"/>
      </left>
      <right style="medium">
        <color theme="4" tint="0.59996337778862885"/>
      </right>
      <top/>
      <bottom style="medium">
        <color theme="4" tint="0.59996337778862885"/>
      </bottom>
      <diagonal/>
    </border>
    <border>
      <left style="medium">
        <color theme="4" tint="0.59996337778862885"/>
      </left>
      <right style="thick">
        <color theme="4" tint="-0.24994659260841701"/>
      </right>
      <top/>
      <bottom style="medium">
        <color theme="4" tint="0.59996337778862885"/>
      </bottom>
      <diagonal/>
    </border>
    <border>
      <left style="thick">
        <color theme="4" tint="-0.24994659260841701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medium">
        <color theme="4" tint="0.59996337778862885"/>
      </left>
      <right style="thick">
        <color theme="4" tint="-0.24994659260841701"/>
      </right>
      <top style="medium">
        <color theme="4" tint="0.59996337778862885"/>
      </top>
      <bottom style="medium">
        <color theme="4" tint="0.59996337778862885"/>
      </bottom>
      <diagonal/>
    </border>
    <border>
      <left style="thick">
        <color theme="4" tint="-0.24994659260841701"/>
      </left>
      <right style="medium">
        <color theme="4" tint="0.59996337778862885"/>
      </right>
      <top style="medium">
        <color theme="4" tint="0.59996337778862885"/>
      </top>
      <bottom style="thick">
        <color theme="4" tint="-0.24994659260841701"/>
      </bottom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ck">
        <color theme="4" tint="-0.24994659260841701"/>
      </bottom>
      <diagonal/>
    </border>
    <border>
      <left style="medium">
        <color theme="4" tint="0.59996337778862885"/>
      </left>
      <right style="thick">
        <color theme="4" tint="-0.24994659260841701"/>
      </right>
      <top style="medium">
        <color theme="4" tint="0.59996337778862885"/>
      </top>
      <bottom style="thick">
        <color theme="4" tint="-0.2499465926084170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theme="4" tint="-0.24994659260841701"/>
      </right>
      <top style="medium">
        <color indexed="64"/>
      </top>
      <bottom/>
      <diagonal/>
    </border>
    <border>
      <left/>
      <right style="thick">
        <color theme="4" tint="-0.2499465926084170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4" tint="0.59996337778862885"/>
      </right>
      <top/>
      <bottom style="medium">
        <color theme="4" tint="0.59996337778862885"/>
      </bottom>
      <diagonal/>
    </border>
    <border>
      <left style="medium">
        <color theme="4" tint="0.59996337778862885"/>
      </left>
      <right/>
      <top/>
      <bottom style="medium">
        <color theme="4" tint="0.59996337778862885"/>
      </bottom>
      <diagonal/>
    </border>
    <border>
      <left/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medium">
        <color theme="4" tint="0.59996337778862885"/>
      </left>
      <right/>
      <top style="medium">
        <color theme="4" tint="0.59996337778862885"/>
      </top>
      <bottom style="medium">
        <color theme="4" tint="0.59996337778862885"/>
      </bottom>
      <diagonal/>
    </border>
    <border>
      <left/>
      <right style="medium">
        <color theme="4" tint="0.59996337778862885"/>
      </right>
      <top style="medium">
        <color theme="4" tint="0.59996337778862885"/>
      </top>
      <bottom/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/>
      <diagonal/>
    </border>
    <border>
      <left style="medium">
        <color theme="4" tint="0.59996337778862885"/>
      </left>
      <right/>
      <top style="medium">
        <color theme="4" tint="0.59996337778862885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0" borderId="0" xfId="0" applyFont="1"/>
    <xf numFmtId="0" fontId="6" fillId="0" borderId="0" xfId="0" applyFont="1"/>
    <xf numFmtId="0" fontId="1" fillId="3" borderId="6" xfId="0" applyFont="1" applyFill="1" applyBorder="1" applyAlignment="1">
      <alignment horizontal="left" indent="2"/>
    </xf>
    <xf numFmtId="164" fontId="1" fillId="0" borderId="7" xfId="0" applyNumberFormat="1" applyFont="1" applyBorder="1" applyAlignment="1">
      <alignment horizontal="center"/>
    </xf>
    <xf numFmtId="0" fontId="1" fillId="3" borderId="8" xfId="0" applyFont="1" applyFill="1" applyBorder="1" applyAlignment="1">
      <alignment horizontal="left" indent="2"/>
    </xf>
    <xf numFmtId="10" fontId="1" fillId="0" borderId="9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0" fontId="3" fillId="0" borderId="9" xfId="0" applyNumberFormat="1" applyFont="1" applyBorder="1" applyAlignment="1">
      <alignment horizontal="center"/>
    </xf>
    <xf numFmtId="8" fontId="3" fillId="3" borderId="9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left" indent="2"/>
    </xf>
    <xf numFmtId="8" fontId="3" fillId="3" borderId="12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/>
    </xf>
    <xf numFmtId="164" fontId="5" fillId="3" borderId="7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/>
    </xf>
    <xf numFmtId="164" fontId="5" fillId="3" borderId="12" xfId="0" applyNumberFormat="1" applyFont="1" applyFill="1" applyBorder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0" fontId="10" fillId="4" borderId="0" xfId="0" applyFont="1" applyFill="1"/>
    <xf numFmtId="0" fontId="5" fillId="0" borderId="0" xfId="0" applyFont="1"/>
    <xf numFmtId="0" fontId="3" fillId="6" borderId="0" xfId="0" applyFont="1" applyFill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0" fillId="0" borderId="13" xfId="0" applyBorder="1"/>
    <xf numFmtId="0" fontId="5" fillId="0" borderId="13" xfId="0" applyFont="1" applyBorder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0" fillId="0" borderId="17" xfId="0" applyBorder="1"/>
    <xf numFmtId="0" fontId="5" fillId="0" borderId="0" xfId="0" applyFont="1" applyAlignment="1">
      <alignment horizontal="center"/>
    </xf>
    <xf numFmtId="9" fontId="5" fillId="0" borderId="18" xfId="0" applyNumberFormat="1" applyFont="1" applyBorder="1" applyAlignment="1">
      <alignment horizontal="center"/>
    </xf>
    <xf numFmtId="0" fontId="0" fillId="0" borderId="19" xfId="0" applyBorder="1"/>
    <xf numFmtId="9" fontId="5" fillId="0" borderId="20" xfId="0" applyNumberFormat="1" applyFon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5" fillId="0" borderId="21" xfId="0" applyFont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164" fontId="5" fillId="5" borderId="22" xfId="0" applyNumberFormat="1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64" fontId="5" fillId="5" borderId="24" xfId="0" applyNumberFormat="1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9" fontId="5" fillId="0" borderId="26" xfId="0" applyNumberFormat="1" applyFont="1" applyBorder="1" applyAlignment="1">
      <alignment horizontal="center"/>
    </xf>
    <xf numFmtId="164" fontId="5" fillId="5" borderId="27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left" indent="2"/>
    </xf>
    <xf numFmtId="0" fontId="1" fillId="5" borderId="1" xfId="0" applyFont="1" applyFill="1" applyBorder="1" applyAlignment="1">
      <alignment horizontal="left" indent="2"/>
    </xf>
    <xf numFmtId="0" fontId="2" fillId="3" borderId="8" xfId="0" applyFont="1" applyFill="1" applyBorder="1" applyAlignment="1">
      <alignment horizontal="left" indent="2"/>
    </xf>
    <xf numFmtId="0" fontId="2" fillId="3" borderId="1" xfId="0" applyFont="1" applyFill="1" applyBorder="1" applyAlignment="1">
      <alignment horizontal="left" indent="2"/>
    </xf>
    <xf numFmtId="0" fontId="2" fillId="3" borderId="10" xfId="0" applyFont="1" applyFill="1" applyBorder="1" applyAlignment="1">
      <alignment horizontal="left" indent="2"/>
    </xf>
    <xf numFmtId="0" fontId="2" fillId="3" borderId="11" xfId="0" applyFont="1" applyFill="1" applyBorder="1" applyAlignment="1">
      <alignment horizontal="left" indent="2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indent="2"/>
    </xf>
    <xf numFmtId="0" fontId="1" fillId="5" borderId="2" xfId="0" applyFont="1" applyFill="1" applyBorder="1" applyAlignment="1">
      <alignment horizontal="left" indent="2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left" indent="2"/>
    </xf>
    <xf numFmtId="0" fontId="1" fillId="5" borderId="11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APP_Invest!$C$35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685-42F0-B9B3-C59161A760E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92-41CC-9CAF-3367042070F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892-41CC-9CAF-3367042070F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892-41CC-9CAF-3367042070F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892-41CC-9CAF-3367042070F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892-41CC-9CAF-3367042070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APP_Invest!$B$36:$B$41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APP_Invest!$C$36:$C$41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5-42F0-B9B3-C59161A7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371476</xdr:colOff>
      <xdr:row>1</xdr:row>
      <xdr:rowOff>0</xdr:rowOff>
    </xdr:from>
    <xdr:to>
      <xdr:col>4</xdr:col>
      <xdr:colOff>409575</xdr:colOff>
      <xdr:row>7</xdr:row>
      <xdr:rowOff>152400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C5EC4DB-2C22-4FC0-A531-8910F36D3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190500"/>
          <a:ext cx="7562849" cy="1295400"/>
        </a:xfrm>
        <a:prstGeom prst="rect">
          <a:avLst/>
        </a:prstGeom>
      </xdr:spPr>
    </xdr:pic>
    <xdr:clientData/>
  </xdr:twoCellAnchor>
  <xdr:twoCellAnchor>
    <xdr:from>
      <xdr:col>1</xdr:col>
      <xdr:colOff>1143000</xdr:colOff>
      <xdr:row>44</xdr:row>
      <xdr:rowOff>42862</xdr:rowOff>
    </xdr:from>
    <xdr:to>
      <xdr:col>3</xdr:col>
      <xdr:colOff>438150</xdr:colOff>
      <xdr:row>58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D8C013-9A48-4C04-B1C9-369C3AE33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EF72-5162-4ABC-ADEE-45D0F8551432}">
  <dimension ref="A10:L73"/>
  <sheetViews>
    <sheetView showGridLines="0" showRowColHeaders="0" tabSelected="1" topLeftCell="A28" workbookViewId="0">
      <selection activeCell="E47" sqref="E47"/>
    </sheetView>
  </sheetViews>
  <sheetFormatPr defaultColWidth="0" defaultRowHeight="15" x14ac:dyDescent="0.25"/>
  <cols>
    <col min="1" max="1" width="8.5703125" customWidth="1"/>
    <col min="2" max="2" width="51" customWidth="1"/>
    <col min="3" max="3" width="28.140625" customWidth="1"/>
    <col min="4" max="4" width="25.140625" customWidth="1"/>
    <col min="5" max="5" width="14" customWidth="1"/>
    <col min="6" max="6" width="13.140625" hidden="1" customWidth="1"/>
    <col min="7" max="11" width="9.140625" hidden="1" customWidth="1"/>
    <col min="12" max="12" width="11.140625" hidden="1" customWidth="1"/>
    <col min="13" max="16384" width="9.140625" hidden="1"/>
  </cols>
  <sheetData>
    <row r="10" spans="2:4" ht="15.75" thickBot="1" x14ac:dyDescent="0.3"/>
    <row r="11" spans="2:4" ht="27" thickTop="1" x14ac:dyDescent="0.25">
      <c r="B11" s="62" t="s">
        <v>15</v>
      </c>
      <c r="C11" s="63"/>
      <c r="D11" s="64"/>
    </row>
    <row r="12" spans="2:4" ht="18" thickBot="1" x14ac:dyDescent="0.35">
      <c r="B12" s="60" t="s">
        <v>14</v>
      </c>
      <c r="C12" s="61"/>
      <c r="D12" s="4">
        <v>4200</v>
      </c>
    </row>
    <row r="13" spans="2:4" ht="18" thickBot="1" x14ac:dyDescent="0.35">
      <c r="B13" s="52" t="s">
        <v>13</v>
      </c>
      <c r="C13" s="53"/>
      <c r="D13" s="6">
        <v>6.0000000000000001E-3</v>
      </c>
    </row>
    <row r="14" spans="2:4" ht="18" thickBot="1" x14ac:dyDescent="0.35">
      <c r="B14" s="66" t="s">
        <v>32</v>
      </c>
      <c r="C14" s="67"/>
      <c r="D14" s="20">
        <f>D12*30%</f>
        <v>1260</v>
      </c>
    </row>
    <row r="15" spans="2:4" ht="16.5" thickTop="1" thickBot="1" x14ac:dyDescent="0.3"/>
    <row r="16" spans="2:4" ht="30" customHeight="1" thickTop="1" x14ac:dyDescent="0.25">
      <c r="B16" s="58" t="s">
        <v>0</v>
      </c>
      <c r="C16" s="59"/>
      <c r="D16" s="65"/>
    </row>
    <row r="17" spans="1:5" ht="18" thickBot="1" x14ac:dyDescent="0.35">
      <c r="B17" s="60" t="s">
        <v>1</v>
      </c>
      <c r="C17" s="61"/>
      <c r="D17" s="7">
        <v>1260</v>
      </c>
    </row>
    <row r="18" spans="1:5" ht="18" thickBot="1" x14ac:dyDescent="0.35">
      <c r="B18" s="52" t="s">
        <v>2</v>
      </c>
      <c r="C18" s="53"/>
      <c r="D18" s="8">
        <v>10</v>
      </c>
    </row>
    <row r="19" spans="1:5" ht="18" thickBot="1" x14ac:dyDescent="0.35">
      <c r="B19" s="52" t="s">
        <v>3</v>
      </c>
      <c r="C19" s="53"/>
      <c r="D19" s="9">
        <v>1.0789999999999999E-2</v>
      </c>
    </row>
    <row r="20" spans="1:5" ht="18" thickBot="1" x14ac:dyDescent="0.35">
      <c r="B20" s="54" t="s">
        <v>4</v>
      </c>
      <c r="C20" s="55"/>
      <c r="D20" s="10">
        <f>FV(taxa_mensal,qtd_anos*12,aporte*-1)</f>
        <v>306538.10778801696</v>
      </c>
    </row>
    <row r="21" spans="1:5" ht="18" thickBot="1" x14ac:dyDescent="0.35">
      <c r="B21" s="56" t="s">
        <v>5</v>
      </c>
      <c r="C21" s="57"/>
      <c r="D21" s="12">
        <f>patrimonio*rendimento_carteira</f>
        <v>1839.2286467281017</v>
      </c>
      <c r="E21" s="2"/>
    </row>
    <row r="22" spans="1:5" ht="16.5" thickTop="1" thickBot="1" x14ac:dyDescent="0.3"/>
    <row r="23" spans="1:5" ht="30" customHeight="1" thickTop="1" x14ac:dyDescent="0.25">
      <c r="B23" s="58" t="s">
        <v>11</v>
      </c>
      <c r="C23" s="59"/>
      <c r="D23" s="13" t="s">
        <v>12</v>
      </c>
    </row>
    <row r="24" spans="1:5" ht="18" thickBot="1" x14ac:dyDescent="0.35">
      <c r="A24" s="1">
        <v>2</v>
      </c>
      <c r="B24" s="3" t="s">
        <v>6</v>
      </c>
      <c r="C24" s="14">
        <f>FV($D$19,$A24*12,$D$17*-1)</f>
        <v>34306.810395032975</v>
      </c>
      <c r="D24" s="15">
        <f>C24*rendimento_carteira</f>
        <v>205.84086237019787</v>
      </c>
    </row>
    <row r="25" spans="1:5" ht="18" thickBot="1" x14ac:dyDescent="0.35">
      <c r="A25" s="1">
        <v>5</v>
      </c>
      <c r="B25" s="5" t="s">
        <v>7</v>
      </c>
      <c r="C25" s="16">
        <f>FV($D$19,$A25*12,$D$17*-1)</f>
        <v>105558.91163809443</v>
      </c>
      <c r="D25" s="17">
        <f>C25*rendimento_carteira</f>
        <v>633.35346982856663</v>
      </c>
    </row>
    <row r="26" spans="1:5" ht="18" thickBot="1" x14ac:dyDescent="0.35">
      <c r="A26" s="1">
        <v>10</v>
      </c>
      <c r="B26" s="5" t="s">
        <v>8</v>
      </c>
      <c r="C26" s="16">
        <f>FV($D$19,$A26*12,$D$17*-1)</f>
        <v>306538.10778801696</v>
      </c>
      <c r="D26" s="17">
        <f>C26*rendimento_carteira</f>
        <v>1839.2286467281017</v>
      </c>
    </row>
    <row r="27" spans="1:5" ht="18" thickBot="1" x14ac:dyDescent="0.35">
      <c r="A27" s="1">
        <v>20</v>
      </c>
      <c r="B27" s="5" t="s">
        <v>9</v>
      </c>
      <c r="C27" s="16">
        <f>FV($D$19,$A27*12,$D$17*-1)</f>
        <v>1417749.9841223215</v>
      </c>
      <c r="D27" s="17">
        <f>C27*rendimento_carteira</f>
        <v>8506.4999047339297</v>
      </c>
    </row>
    <row r="28" spans="1:5" ht="18" thickBot="1" x14ac:dyDescent="0.35">
      <c r="A28" s="1">
        <v>30</v>
      </c>
      <c r="B28" s="11" t="s">
        <v>10</v>
      </c>
      <c r="C28" s="18">
        <f>FV($D$19,$A28*12,$D$17*-1)</f>
        <v>5445933.7653059401</v>
      </c>
      <c r="D28" s="19">
        <f>C28*rendimento_carteira</f>
        <v>32675.602591835643</v>
      </c>
    </row>
    <row r="29" spans="1:5" ht="15.75" thickTop="1" x14ac:dyDescent="0.25"/>
    <row r="32" spans="1:5" ht="17.25" x14ac:dyDescent="0.3">
      <c r="B32" s="21" t="s">
        <v>20</v>
      </c>
      <c r="C32" s="22" t="s">
        <v>17</v>
      </c>
      <c r="D32" s="23"/>
    </row>
    <row r="33" spans="2:4" ht="16.5" x14ac:dyDescent="0.3">
      <c r="B33" s="31" t="s">
        <v>19</v>
      </c>
      <c r="C33" s="32">
        <f>aporte</f>
        <v>1260</v>
      </c>
      <c r="D33" s="31"/>
    </row>
    <row r="34" spans="2:4" ht="16.5" x14ac:dyDescent="0.3">
      <c r="B34" s="24"/>
      <c r="C34" s="24"/>
      <c r="D34" s="24"/>
    </row>
    <row r="35" spans="2:4" ht="16.5" x14ac:dyDescent="0.3">
      <c r="B35" s="25" t="s">
        <v>21</v>
      </c>
      <c r="C35" s="25" t="s">
        <v>22</v>
      </c>
      <c r="D35" s="25" t="s">
        <v>23</v>
      </c>
    </row>
    <row r="36" spans="2:4" ht="17.25" thickBot="1" x14ac:dyDescent="0.35">
      <c r="B36" s="43" t="s">
        <v>24</v>
      </c>
      <c r="C36" s="44">
        <f>VLOOKUP($C$32&amp;"-"&amp;B36,Planilha_Apoio!$B:$E,4,FALSE)</f>
        <v>0.32</v>
      </c>
      <c r="D36" s="45">
        <f>C36*$C$33</f>
        <v>403.2</v>
      </c>
    </row>
    <row r="37" spans="2:4" ht="17.25" thickBot="1" x14ac:dyDescent="0.35">
      <c r="B37" s="46" t="s">
        <v>25</v>
      </c>
      <c r="C37" s="47">
        <f>VLOOKUP($C$32&amp;"-"&amp;B37,Planilha_Apoio!$B:$E,4,FALSE)</f>
        <v>0.35</v>
      </c>
      <c r="D37" s="48">
        <f t="shared" ref="D37:D41" si="0">C37*$C$33</f>
        <v>441</v>
      </c>
    </row>
    <row r="38" spans="2:4" ht="17.25" thickBot="1" x14ac:dyDescent="0.35">
      <c r="B38" s="46" t="s">
        <v>26</v>
      </c>
      <c r="C38" s="47">
        <f>VLOOKUP($C$32&amp;"-"&amp;B38,Planilha_Apoio!$B:$E,4,FALSE)</f>
        <v>0.08</v>
      </c>
      <c r="D38" s="48">
        <f t="shared" si="0"/>
        <v>100.8</v>
      </c>
    </row>
    <row r="39" spans="2:4" ht="17.25" thickBot="1" x14ac:dyDescent="0.35">
      <c r="B39" s="46" t="s">
        <v>27</v>
      </c>
      <c r="C39" s="47">
        <f>VLOOKUP($C$32&amp;"-"&amp;B39,Planilha_Apoio!$B:$E,4,FALSE)</f>
        <v>0.05</v>
      </c>
      <c r="D39" s="48">
        <f t="shared" si="0"/>
        <v>63</v>
      </c>
    </row>
    <row r="40" spans="2:4" ht="17.25" thickBot="1" x14ac:dyDescent="0.35">
      <c r="B40" s="46" t="s">
        <v>28</v>
      </c>
      <c r="C40" s="47">
        <f>VLOOKUP($C$32&amp;"-"&amp;B40,Planilha_Apoio!$B:$E,4,FALSE)</f>
        <v>0.1</v>
      </c>
      <c r="D40" s="48">
        <f t="shared" si="0"/>
        <v>126</v>
      </c>
    </row>
    <row r="41" spans="2:4" ht="16.5" x14ac:dyDescent="0.3">
      <c r="B41" s="49" t="s">
        <v>29</v>
      </c>
      <c r="C41" s="50">
        <f>VLOOKUP($C$32&amp;"-"&amp;B41,Planilha_Apoio!$B:$E,4,FALSE)</f>
        <v>0.1</v>
      </c>
      <c r="D41" s="51">
        <f t="shared" si="0"/>
        <v>126</v>
      </c>
    </row>
    <row r="42" spans="2:4" ht="16.5" x14ac:dyDescent="0.3">
      <c r="B42" s="26"/>
      <c r="C42" s="27"/>
      <c r="D42" s="28">
        <f>SUM(D36:D41)</f>
        <v>1260</v>
      </c>
    </row>
    <row r="43" spans="2:4" ht="16.5" x14ac:dyDescent="0.3">
      <c r="B43" s="24"/>
      <c r="C43" s="24"/>
      <c r="D43" s="24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11">
    <mergeCell ref="B17:C17"/>
    <mergeCell ref="B11:D11"/>
    <mergeCell ref="B16:D16"/>
    <mergeCell ref="B12:C12"/>
    <mergeCell ref="B13:C13"/>
    <mergeCell ref="B14:C14"/>
    <mergeCell ref="B18:C18"/>
    <mergeCell ref="B19:C19"/>
    <mergeCell ref="B20:C20"/>
    <mergeCell ref="B21:C21"/>
    <mergeCell ref="B23:C23"/>
  </mergeCells>
  <dataValidations disablePrompts="1" count="1">
    <dataValidation type="list" allowBlank="1" showInputMessage="1" showErrorMessage="1" sqref="C32" xr:uid="{26CC18B1-B252-4AD9-B0FC-C58276BB9C0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5129-7F57-4F0F-9FA7-A41CE4F509D0}">
  <dimension ref="B1:E20"/>
  <sheetViews>
    <sheetView workbookViewId="0">
      <selection activeCell="H16" sqref="H16"/>
    </sheetView>
  </sheetViews>
  <sheetFormatPr defaultRowHeight="15" x14ac:dyDescent="0.25"/>
  <cols>
    <col min="1" max="1" width="4" customWidth="1"/>
    <col min="2" max="2" width="24.28515625" customWidth="1"/>
    <col min="3" max="3" width="12.140625" bestFit="1" customWidth="1"/>
    <col min="4" max="4" width="20.85546875" bestFit="1" customWidth="1"/>
  </cols>
  <sheetData>
    <row r="1" spans="2:5" ht="15.75" thickBot="1" x14ac:dyDescent="0.3"/>
    <row r="2" spans="2:5" ht="16.5" x14ac:dyDescent="0.25">
      <c r="B2" s="33" t="s">
        <v>31</v>
      </c>
      <c r="C2" s="34" t="s">
        <v>20</v>
      </c>
      <c r="D2" s="34" t="s">
        <v>21</v>
      </c>
      <c r="E2" s="35" t="s">
        <v>30</v>
      </c>
    </row>
    <row r="3" spans="2:5" ht="16.5" x14ac:dyDescent="0.3">
      <c r="B3" s="36" t="str">
        <f>C3&amp;"-"&amp;D3</f>
        <v>Conservador-PAPEL</v>
      </c>
      <c r="C3" t="s">
        <v>16</v>
      </c>
      <c r="D3" s="37" t="s">
        <v>24</v>
      </c>
      <c r="E3" s="38">
        <v>0.3</v>
      </c>
    </row>
    <row r="4" spans="2:5" ht="16.5" x14ac:dyDescent="0.3">
      <c r="B4" s="36" t="str">
        <f t="shared" ref="B4:B20" si="0">C4&amp;"-"&amp;D4</f>
        <v>Conservador-TIJOLO</v>
      </c>
      <c r="C4" t="s">
        <v>16</v>
      </c>
      <c r="D4" s="37" t="s">
        <v>25</v>
      </c>
      <c r="E4" s="38">
        <v>0.5</v>
      </c>
    </row>
    <row r="5" spans="2:5" ht="16.5" x14ac:dyDescent="0.3">
      <c r="B5" s="36" t="str">
        <f t="shared" si="0"/>
        <v>Conservador-HÍBRIDOS</v>
      </c>
      <c r="C5" t="s">
        <v>16</v>
      </c>
      <c r="D5" s="37" t="s">
        <v>26</v>
      </c>
      <c r="E5" s="38">
        <v>0.1</v>
      </c>
    </row>
    <row r="6" spans="2:5" ht="16.5" x14ac:dyDescent="0.3">
      <c r="B6" s="36" t="str">
        <f t="shared" si="0"/>
        <v>Conservador-FOFs</v>
      </c>
      <c r="C6" t="s">
        <v>16</v>
      </c>
      <c r="D6" s="37" t="s">
        <v>27</v>
      </c>
      <c r="E6" s="38">
        <v>0.1</v>
      </c>
    </row>
    <row r="7" spans="2:5" ht="16.5" x14ac:dyDescent="0.3">
      <c r="B7" s="36" t="str">
        <f t="shared" si="0"/>
        <v>Conservador-DESENVOLVIMENTO</v>
      </c>
      <c r="C7" t="s">
        <v>16</v>
      </c>
      <c r="D7" s="37" t="s">
        <v>28</v>
      </c>
      <c r="E7" s="38">
        <v>0</v>
      </c>
    </row>
    <row r="8" spans="2:5" ht="17.25" thickBot="1" x14ac:dyDescent="0.35">
      <c r="B8" s="39" t="str">
        <f t="shared" si="0"/>
        <v>Conservador-HOTELARIAS</v>
      </c>
      <c r="C8" s="29" t="s">
        <v>16</v>
      </c>
      <c r="D8" s="30" t="s">
        <v>29</v>
      </c>
      <c r="E8" s="40">
        <v>0</v>
      </c>
    </row>
    <row r="9" spans="2:5" ht="16.5" x14ac:dyDescent="0.3">
      <c r="B9" s="36" t="str">
        <f t="shared" si="0"/>
        <v>Moderado-PAPEL</v>
      </c>
      <c r="C9" t="s">
        <v>17</v>
      </c>
      <c r="D9" s="37" t="s">
        <v>24</v>
      </c>
      <c r="E9" s="41">
        <v>0.32</v>
      </c>
    </row>
    <row r="10" spans="2:5" ht="16.5" x14ac:dyDescent="0.3">
      <c r="B10" s="36" t="str">
        <f t="shared" si="0"/>
        <v>Moderado-TIJOLO</v>
      </c>
      <c r="C10" t="s">
        <v>17</v>
      </c>
      <c r="D10" s="37" t="s">
        <v>25</v>
      </c>
      <c r="E10" s="41">
        <v>0.35</v>
      </c>
    </row>
    <row r="11" spans="2:5" ht="16.5" x14ac:dyDescent="0.3">
      <c r="B11" s="36" t="str">
        <f t="shared" si="0"/>
        <v>Moderado-HÍBRIDOS</v>
      </c>
      <c r="C11" t="s">
        <v>17</v>
      </c>
      <c r="D11" s="37" t="s">
        <v>26</v>
      </c>
      <c r="E11" s="41">
        <v>0.08</v>
      </c>
    </row>
    <row r="12" spans="2:5" ht="16.5" x14ac:dyDescent="0.3">
      <c r="B12" s="36" t="str">
        <f t="shared" si="0"/>
        <v>Moderado-FOFs</v>
      </c>
      <c r="C12" t="s">
        <v>17</v>
      </c>
      <c r="D12" s="37" t="s">
        <v>27</v>
      </c>
      <c r="E12" s="41">
        <v>0.05</v>
      </c>
    </row>
    <row r="13" spans="2:5" ht="16.5" x14ac:dyDescent="0.3">
      <c r="B13" s="36" t="str">
        <f t="shared" si="0"/>
        <v>Moderado-DESENVOLVIMENTO</v>
      </c>
      <c r="C13" t="s">
        <v>17</v>
      </c>
      <c r="D13" s="37" t="s">
        <v>28</v>
      </c>
      <c r="E13" s="41">
        <v>0.1</v>
      </c>
    </row>
    <row r="14" spans="2:5" ht="17.25" thickBot="1" x14ac:dyDescent="0.35">
      <c r="B14" s="39" t="str">
        <f t="shared" si="0"/>
        <v>Moderado-HOTELARIAS</v>
      </c>
      <c r="C14" s="29" t="s">
        <v>17</v>
      </c>
      <c r="D14" s="30" t="s">
        <v>29</v>
      </c>
      <c r="E14" s="42">
        <v>0.1</v>
      </c>
    </row>
    <row r="15" spans="2:5" ht="16.5" x14ac:dyDescent="0.3">
      <c r="B15" s="36" t="str">
        <f t="shared" si="0"/>
        <v>Agressivo-PAPEL</v>
      </c>
      <c r="C15" t="s">
        <v>18</v>
      </c>
      <c r="D15" s="37" t="s">
        <v>24</v>
      </c>
      <c r="E15" s="41">
        <v>0.5</v>
      </c>
    </row>
    <row r="16" spans="2:5" ht="16.5" x14ac:dyDescent="0.3">
      <c r="B16" s="36" t="str">
        <f t="shared" si="0"/>
        <v>Agressivo-TIJOLO</v>
      </c>
      <c r="C16" t="s">
        <v>18</v>
      </c>
      <c r="D16" s="37" t="s">
        <v>25</v>
      </c>
      <c r="E16" s="41">
        <v>0.1</v>
      </c>
    </row>
    <row r="17" spans="2:5" ht="16.5" x14ac:dyDescent="0.3">
      <c r="B17" s="36" t="str">
        <f t="shared" si="0"/>
        <v>Agressivo-HÍBRIDOS</v>
      </c>
      <c r="C17" t="s">
        <v>18</v>
      </c>
      <c r="D17" s="37" t="s">
        <v>26</v>
      </c>
      <c r="E17" s="41">
        <v>0.05</v>
      </c>
    </row>
    <row r="18" spans="2:5" ht="16.5" x14ac:dyDescent="0.3">
      <c r="B18" s="36" t="str">
        <f t="shared" si="0"/>
        <v>Agressivo-FOFs</v>
      </c>
      <c r="C18" t="s">
        <v>18</v>
      </c>
      <c r="D18" s="37" t="s">
        <v>27</v>
      </c>
      <c r="E18" s="41">
        <v>0.05</v>
      </c>
    </row>
    <row r="19" spans="2:5" ht="16.5" x14ac:dyDescent="0.3">
      <c r="B19" s="36" t="str">
        <f t="shared" si="0"/>
        <v>Agressivo-DESENVOLVIMENTO</v>
      </c>
      <c r="C19" t="s">
        <v>18</v>
      </c>
      <c r="D19" s="37" t="s">
        <v>28</v>
      </c>
      <c r="E19" s="41">
        <v>0.2</v>
      </c>
    </row>
    <row r="20" spans="2:5" ht="17.25" thickBot="1" x14ac:dyDescent="0.35">
      <c r="B20" s="39" t="str">
        <f t="shared" si="0"/>
        <v>Agressivo-HOTELARIAS</v>
      </c>
      <c r="C20" s="29" t="s">
        <v>18</v>
      </c>
      <c r="D20" s="30" t="s">
        <v>29</v>
      </c>
      <c r="E20" s="4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APP_Invest</vt:lpstr>
      <vt:lpstr>Planilha_Apoio</vt:lpstr>
      <vt:lpstr>aporte</vt:lpstr>
      <vt:lpstr>patrimonio</vt:lpstr>
      <vt:lpstr>qtd_anos</vt:lpstr>
      <vt:lpstr>rendimento_carteira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</dc:creator>
  <cp:lastModifiedBy>Vanessa</cp:lastModifiedBy>
  <dcterms:created xsi:type="dcterms:W3CDTF">2026-09-17T21:53:36Z</dcterms:created>
  <dcterms:modified xsi:type="dcterms:W3CDTF">2026-09-22T00:07:16Z</dcterms:modified>
</cp:coreProperties>
</file>